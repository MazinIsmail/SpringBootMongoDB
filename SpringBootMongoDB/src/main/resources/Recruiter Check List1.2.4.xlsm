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A20011300\Downloads\"/>
    </mc:Choice>
  </mc:AlternateContent>
  <xr:revisionPtr revIDLastSave="0" documentId="13_ncr:1_{4B6F6015-F69B-45F0-8D23-6D3D64317425}" xr6:coauthVersionLast="45" xr6:coauthVersionMax="45" xr10:uidLastSave="{00000000-0000-0000-0000-000000000000}"/>
  <bookViews>
    <workbookView xWindow="-110" yWindow="-110" windowWidth="19420" windowHeight="10420" xr2:uid="{00000000-000D-0000-FFFF-FFFF00000000}"/>
  </bookViews>
  <sheets>
    <sheet name="Recruiter-Candidate form" sheetId="2" r:id="rId1"/>
    <sheet name="Internal-Ref" sheetId="3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17" i="2" l="1"/>
  <c r="D33" i="2"/>
  <c r="D23" i="2"/>
  <c r="D21" i="2"/>
  <c r="D16" i="2"/>
  <c r="D15" i="2"/>
  <c r="D35" i="2"/>
  <c r="D32" i="2"/>
  <c r="D3" i="2"/>
  <c r="D4" i="2"/>
  <c r="D5" i="2"/>
  <c r="D6" i="2"/>
  <c r="D7" i="2"/>
  <c r="D8" i="2"/>
  <c r="D9" i="2"/>
  <c r="D11" i="2"/>
  <c r="D12" i="2"/>
  <c r="D13" i="2"/>
  <c r="D25" i="2"/>
  <c r="D26" i="2"/>
  <c r="D24" i="2"/>
  <c r="D18" i="2"/>
  <c r="D19" i="2"/>
  <c r="D20" i="2"/>
  <c r="D27" i="2"/>
  <c r="D28" i="2"/>
  <c r="D30" i="2"/>
  <c r="D31" i="2"/>
  <c r="D36" i="2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Manish Verma 2</author>
  </authors>
  <commentList>
    <comment ref="C7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Manish Verma 2:</t>
        </r>
        <r>
          <rPr>
            <sz val="9"/>
            <color indexed="81"/>
            <rFont val="Tahoma"/>
            <family val="2"/>
          </rPr>
          <t xml:space="preserve">
mentio Non Kafka Message Brokers like Rabbit MQ, Activite MQ or Storm or any other.</t>
        </r>
      </text>
    </comment>
    <comment ref="C9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Manish Verma 2:</t>
        </r>
        <r>
          <rPr>
            <sz val="9"/>
            <color indexed="81"/>
            <rFont val="Tahoma"/>
            <family val="2"/>
          </rPr>
          <t xml:space="preserve">
Did you use No SQL? Which all nosql DB you have used.</t>
        </r>
      </text>
    </comment>
    <comment ref="C12" authorId="0" shapeId="0" xr:uid="{00000000-0006-0000-0000-000003000000}">
      <text>
        <r>
          <rPr>
            <b/>
            <sz val="9"/>
            <color indexed="81"/>
            <rFont val="Tahoma"/>
            <family val="2"/>
          </rPr>
          <t>Manish Verma 2:</t>
        </r>
        <r>
          <rPr>
            <sz val="9"/>
            <color indexed="81"/>
            <rFont val="Tahoma"/>
            <family val="2"/>
          </rPr>
          <t xml:space="preserve">
Mention monitoring tools used</t>
        </r>
      </text>
    </comment>
    <comment ref="C17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Manish Verma 2:</t>
        </r>
        <r>
          <rPr>
            <sz val="9"/>
            <color indexed="81"/>
            <rFont val="Tahoma"/>
            <family val="2"/>
          </rPr>
          <t xml:space="preserve">
please list microservices patterns used?</t>
        </r>
      </text>
    </comment>
    <comment ref="C18" authorId="0" shapeId="0" xr:uid="{00000000-0006-0000-0000-000005000000}">
      <text>
        <r>
          <rPr>
            <b/>
            <sz val="9"/>
            <color indexed="81"/>
            <rFont val="Tahoma"/>
            <family val="2"/>
          </rPr>
          <t>Manish Verma 2:</t>
        </r>
        <r>
          <rPr>
            <sz val="9"/>
            <color indexed="81"/>
            <rFont val="Tahoma"/>
            <family val="2"/>
          </rPr>
          <t xml:space="preserve">
please list microservices patterns used?</t>
        </r>
      </text>
    </comment>
    <comment ref="C19" authorId="0" shapeId="0" xr:uid="{00000000-0006-0000-0000-000006000000}">
      <text>
        <r>
          <rPr>
            <b/>
            <sz val="9"/>
            <color indexed="81"/>
            <rFont val="Tahoma"/>
            <family val="2"/>
          </rPr>
          <t>Mention Cloud and Services used</t>
        </r>
      </text>
    </comment>
    <comment ref="C20" authorId="0" shapeId="0" xr:uid="{00000000-0006-0000-0000-000007000000}">
      <text>
        <r>
          <rPr>
            <b/>
            <sz val="9"/>
            <color indexed="81"/>
            <rFont val="Tahoma"/>
            <family val="2"/>
          </rPr>
          <t>Manish Verma 2:</t>
        </r>
        <r>
          <rPr>
            <sz val="9"/>
            <color indexed="81"/>
            <rFont val="Tahoma"/>
            <family val="2"/>
          </rPr>
          <t xml:space="preserve">
what cloud services you have used from either GCP/AWS/Azure or others?</t>
        </r>
      </text>
    </comment>
    <comment ref="C21" authorId="0" shapeId="0" xr:uid="{00000000-0006-0000-0000-000008000000}">
      <text>
        <r>
          <rPr>
            <b/>
            <sz val="9"/>
            <color indexed="81"/>
            <rFont val="Tahoma"/>
            <family val="2"/>
          </rPr>
          <t>Manish Verma 2:</t>
        </r>
        <r>
          <rPr>
            <sz val="9"/>
            <color indexed="81"/>
            <rFont val="Tahoma"/>
            <family val="2"/>
          </rPr>
          <t xml:space="preserve">
what cloud services you have used from either GCP/AWS/Azure or others?</t>
        </r>
      </text>
    </comment>
    <comment ref="C24" authorId="0" shapeId="0" xr:uid="{00000000-0006-0000-0000-000009000000}">
      <text>
        <r>
          <rPr>
            <b/>
            <sz val="9"/>
            <color indexed="81"/>
            <rFont val="Tahoma"/>
            <family val="2"/>
          </rPr>
          <t>Manish Verma 2:</t>
        </r>
        <r>
          <rPr>
            <sz val="9"/>
            <color indexed="81"/>
            <rFont val="Tahoma"/>
            <family val="2"/>
          </rPr>
          <t xml:space="preserve">
please give details on technologies used beyond  what is already listed in this sheet.</t>
        </r>
      </text>
    </comment>
    <comment ref="C33" authorId="0" shapeId="0" xr:uid="{00000000-0006-0000-0000-00000A000000}">
      <text>
        <r>
          <rPr>
            <b/>
            <sz val="9"/>
            <color indexed="81"/>
            <rFont val="Tahoma"/>
            <family val="2"/>
          </rPr>
          <t>Manish Verma 2:</t>
        </r>
        <r>
          <rPr>
            <sz val="9"/>
            <color indexed="81"/>
            <rFont val="Tahoma"/>
            <family val="2"/>
          </rPr>
          <t xml:space="preserve">
what CI and CD tools you have used</t>
        </r>
      </text>
    </comment>
    <comment ref="C35" authorId="0" shapeId="0" xr:uid="{00000000-0006-0000-0000-00000B000000}">
      <text>
        <r>
          <rPr>
            <b/>
            <sz val="9"/>
            <color indexed="81"/>
            <rFont val="Tahoma"/>
            <family val="2"/>
          </rPr>
          <t>Manish Verma 2:</t>
        </r>
        <r>
          <rPr>
            <sz val="9"/>
            <color indexed="81"/>
            <rFont val="Tahoma"/>
            <family val="2"/>
          </rPr>
          <t xml:space="preserve">
Please select overall career experience</t>
        </r>
      </text>
    </comment>
  </commentList>
</comments>
</file>

<file path=xl/sharedStrings.xml><?xml version="1.0" encoding="utf-8"?>
<sst xmlns="http://schemas.openxmlformats.org/spreadsheetml/2006/main" count="118" uniqueCount="87">
  <si>
    <t>Technical Section</t>
  </si>
  <si>
    <t>Technology Specific Impl Duration</t>
  </si>
  <si>
    <t>Description</t>
  </si>
  <si>
    <t>Derived Rating</t>
  </si>
  <si>
    <t>Core Service Implementation and Standards</t>
  </si>
  <si>
    <t>Java 8/9 features</t>
  </si>
  <si>
    <t>3 Year to 4 years</t>
  </si>
  <si>
    <t>Select One</t>
  </si>
  <si>
    <t>Any Other Language skills</t>
  </si>
  <si>
    <t>No Experience</t>
  </si>
  <si>
    <t>Collections and Datastructures</t>
  </si>
  <si>
    <t>Multithreading</t>
  </si>
  <si>
    <t>POC only</t>
  </si>
  <si>
    <t>1 Year-2 Year</t>
  </si>
  <si>
    <t xml:space="preserve">Message Broker- Kafka </t>
  </si>
  <si>
    <t>6.1 months-1 year</t>
  </si>
  <si>
    <t>Message Broker-Others</t>
  </si>
  <si>
    <t>Database-RDBMS</t>
  </si>
  <si>
    <t>Database-No SQL</t>
  </si>
  <si>
    <t>More than 4 years</t>
  </si>
  <si>
    <t>Tooling</t>
  </si>
  <si>
    <t>Spring Cloud/Springboot</t>
  </si>
  <si>
    <t>Spring React</t>
  </si>
  <si>
    <t>3 months-6 Months</t>
  </si>
  <si>
    <t>Graph QL</t>
  </si>
  <si>
    <t>Spark or Scala</t>
  </si>
  <si>
    <t>Devops</t>
  </si>
  <si>
    <t>Docker</t>
  </si>
  <si>
    <t>Kubernetes</t>
  </si>
  <si>
    <t>Maven or Gradle</t>
  </si>
  <si>
    <t>2 Year to 3 Year</t>
  </si>
  <si>
    <t>CI/CD tool</t>
  </si>
  <si>
    <t>\</t>
  </si>
  <si>
    <t>Expertise</t>
  </si>
  <si>
    <t>Derrived Data</t>
  </si>
  <si>
    <t>No experience</t>
  </si>
  <si>
    <t>Only one Project Implementation</t>
  </si>
  <si>
    <t>Only two Project Implementations</t>
  </si>
  <si>
    <t>Only three Project Implementations</t>
  </si>
  <si>
    <t>Only Four Project Implementations</t>
  </si>
  <si>
    <t>More than four project Implementations</t>
  </si>
  <si>
    <t>NA</t>
  </si>
  <si>
    <t>Duration</t>
  </si>
  <si>
    <t>Scores</t>
  </si>
  <si>
    <t>Project role</t>
  </si>
  <si>
    <t>No Project Experience</t>
  </si>
  <si>
    <t>10-30%</t>
  </si>
  <si>
    <t>31-50%</t>
  </si>
  <si>
    <t>51-70%</t>
  </si>
  <si>
    <t>71-80%</t>
  </si>
  <si>
    <t>81-100%</t>
  </si>
  <si>
    <t>Total Exp</t>
  </si>
  <si>
    <t>3&lt;exp&lt;5</t>
  </si>
  <si>
    <t>5&lt;exp&lt;7</t>
  </si>
  <si>
    <t>7&lt;exp&lt;9</t>
  </si>
  <si>
    <t>9&lt;exp&lt;11</t>
  </si>
  <si>
    <t>11&lt;exp&lt;13</t>
  </si>
  <si>
    <t>Freshers</t>
  </si>
  <si>
    <t>exp&gt;13</t>
  </si>
  <si>
    <t>CandidateTotal Exp</t>
  </si>
  <si>
    <t>Candidate Exp</t>
  </si>
  <si>
    <t>Total Skill Score</t>
  </si>
  <si>
    <t>Microservices Patterns-Choreography</t>
  </si>
  <si>
    <t>Microservices Patterns-Orchestration</t>
  </si>
  <si>
    <t>Microservices Patterns- Entity Modeling</t>
  </si>
  <si>
    <t>Cloud -Provisioning/env creation</t>
  </si>
  <si>
    <t>Cloud -Application development</t>
  </si>
  <si>
    <t>Cloud -Application deployment</t>
  </si>
  <si>
    <t>API Gateway-Enterprise level</t>
  </si>
  <si>
    <t>Microservices Patterns- Transactions</t>
  </si>
  <si>
    <t>Cloud and Microservices Patterns</t>
  </si>
  <si>
    <t>Any Other Modern Technologies</t>
  </si>
  <si>
    <t>Advance Areas -Good to Have</t>
  </si>
  <si>
    <t>Monitoring Tool(ELK/ Grafana/Splunk/Cloud based etc.)</t>
  </si>
  <si>
    <t>Production experience(Production deployment,trouble shooting, check list, readiness)</t>
  </si>
  <si>
    <t>Evaluation type: Core Java/MS/Trainable MS:</t>
  </si>
  <si>
    <t>Recruiters summary:
To be filled by recruiter and Candidate</t>
  </si>
  <si>
    <t>Attach Candidate Picture here in this sheet on the right side</t>
  </si>
  <si>
    <r>
      <rPr>
        <sz val="11"/>
        <color rgb="FFFF0000"/>
        <rFont val="Calibri"/>
        <family val="2"/>
        <scheme val="minor"/>
      </rPr>
      <t>Instruction for Reset Button:</t>
    </r>
    <r>
      <rPr>
        <sz val="11"/>
        <color theme="1"/>
        <rFont val="Calibri"/>
        <family val="2"/>
        <scheme val="minor"/>
      </rPr>
      <t xml:space="preserve">
Press Reset Button to clear previous entries and restore to default</t>
    </r>
  </si>
  <si>
    <r>
      <rPr>
        <sz val="11"/>
        <color rgb="FFFF0000"/>
        <rFont val="Calibri"/>
        <family val="2"/>
        <scheme val="minor"/>
      </rPr>
      <t>Instructions for filling this form:</t>
    </r>
    <r>
      <rPr>
        <sz val="11"/>
        <color theme="1"/>
        <rFont val="Calibri"/>
        <family val="2"/>
        <scheme val="minor"/>
      </rPr>
      <t xml:space="preserve">
Candidate and Recruiter to validate and enter actual working experience against suggested options. To be used by Panels for evaluation.</t>
    </r>
  </si>
  <si>
    <r>
      <t xml:space="preserve">Instructions for uploading Candidate picture
</t>
    </r>
    <r>
      <rPr>
        <sz val="11"/>
        <rFont val="Calibri"/>
        <family val="2"/>
        <scheme val="minor"/>
      </rPr>
      <t xml:space="preserve">
Insert Candidate Picture to be used by Panel for Candidate indentification</t>
    </r>
    <r>
      <rPr>
        <sz val="11"/>
        <color rgb="FFFF0000"/>
        <rFont val="Calibri"/>
        <family val="2"/>
        <scheme val="minor"/>
      </rPr>
      <t xml:space="preserve">
</t>
    </r>
    <r>
      <rPr>
        <sz val="11"/>
        <rFont val="Calibri"/>
        <family val="2"/>
        <scheme val="minor"/>
      </rPr>
      <t>Use Excel feature to Insert---------Illustrations-----Picture-------to upload candidate picture from PC
Use Excel feature to Insert ---------Illustrations-----Picture-------to upload candidate picture from online</t>
    </r>
  </si>
  <si>
    <t>To be used for internal note taking by recruiter</t>
  </si>
  <si>
    <t>Candidadate Details:</t>
  </si>
  <si>
    <t>Insert Candidate Picture here: Use Excel Insert feature &amp; read above for details</t>
  </si>
  <si>
    <t>Candidadate Name: Mazin Ismail</t>
  </si>
  <si>
    <t>Organization Name &amp; Location: Wipro Technologies</t>
  </si>
  <si>
    <t>Overall Experience in Years: 9.2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</si>
</sst>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8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4" tint="0.39997558519241921"/>
        <bgColor indexed="64"/>
      </patternFill>
    </fill>
  </fills>
  <borders count="2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87">
    <xf numFmtId="0" fontId="0" fillId="0" borderId="0" xfId="0"/>
    <xf numFmtId="0" fontId="1" fillId="0" borderId="0" xfId="1"/>
    <xf numFmtId="0" fontId="0" fillId="2" borderId="8" xfId="0" applyFill="1" applyBorder="1" applyAlignment="1">
      <alignment wrapText="1"/>
    </xf>
    <xf numFmtId="0" fontId="0" fillId="0" borderId="1" xfId="0" applyBorder="1"/>
    <xf numFmtId="0" fontId="0" fillId="0" borderId="6" xfId="0" applyBorder="1"/>
    <xf numFmtId="9" fontId="0" fillId="0" borderId="6" xfId="0" applyNumberFormat="1" applyBorder="1"/>
    <xf numFmtId="0" fontId="0" fillId="0" borderId="17" xfId="0" applyBorder="1"/>
    <xf numFmtId="0" fontId="0" fillId="0" borderId="2" xfId="0" applyBorder="1"/>
    <xf numFmtId="0" fontId="0" fillId="2" borderId="3" xfId="0" applyFill="1" applyBorder="1" applyAlignment="1">
      <alignment wrapText="1"/>
    </xf>
    <xf numFmtId="0" fontId="0" fillId="0" borderId="0" xfId="0" applyAlignment="1">
      <alignment wrapText="1"/>
    </xf>
    <xf numFmtId="0" fontId="0" fillId="2" borderId="9" xfId="0" applyFill="1" applyBorder="1" applyAlignment="1">
      <alignment wrapText="1"/>
    </xf>
    <xf numFmtId="0" fontId="0" fillId="0" borderId="0" xfId="0" applyAlignment="1">
      <alignment horizontal="center"/>
    </xf>
    <xf numFmtId="0" fontId="0" fillId="4" borderId="1" xfId="0" applyFill="1" applyBorder="1"/>
    <xf numFmtId="0" fontId="0" fillId="4" borderId="18" xfId="0" applyFill="1" applyBorder="1"/>
    <xf numFmtId="0" fontId="0" fillId="4" borderId="10" xfId="0" applyFill="1" applyBorder="1"/>
    <xf numFmtId="0" fontId="0" fillId="4" borderId="16" xfId="0" applyFill="1" applyBorder="1"/>
    <xf numFmtId="0" fontId="5" fillId="6" borderId="4" xfId="0" applyFont="1" applyFill="1" applyBorder="1" applyAlignment="1">
      <alignment wrapText="1"/>
    </xf>
    <xf numFmtId="0" fontId="5" fillId="6" borderId="2" xfId="0" applyFont="1" applyFill="1" applyBorder="1" applyAlignment="1" applyProtection="1">
      <alignment wrapText="1"/>
      <protection locked="0"/>
    </xf>
    <xf numFmtId="0" fontId="5" fillId="6" borderId="7" xfId="0" applyFont="1" applyFill="1" applyBorder="1" applyAlignment="1" applyProtection="1">
      <alignment wrapText="1"/>
      <protection locked="0"/>
    </xf>
    <xf numFmtId="0" fontId="5" fillId="6" borderId="5" xfId="0" quotePrefix="1" applyFont="1" applyFill="1" applyBorder="1" applyAlignment="1" applyProtection="1">
      <alignment horizontal="center"/>
    </xf>
    <xf numFmtId="0" fontId="5" fillId="6" borderId="5" xfId="0" applyFont="1" applyFill="1" applyBorder="1" applyAlignment="1" applyProtection="1">
      <alignment wrapText="1"/>
      <protection locked="0"/>
    </xf>
    <xf numFmtId="0" fontId="5" fillId="6" borderId="5" xfId="0" applyFont="1" applyFill="1" applyBorder="1" applyAlignment="1" applyProtection="1">
      <alignment horizontal="center"/>
    </xf>
    <xf numFmtId="0" fontId="5" fillId="0" borderId="4" xfId="0" applyFont="1" applyBorder="1" applyAlignment="1">
      <alignment wrapText="1"/>
    </xf>
    <xf numFmtId="0" fontId="5" fillId="0" borderId="2" xfId="0" applyFont="1" applyBorder="1" applyAlignment="1" applyProtection="1">
      <alignment wrapText="1"/>
      <protection locked="0"/>
    </xf>
    <xf numFmtId="0" fontId="5" fillId="0" borderId="5" xfId="0" applyFont="1" applyBorder="1" applyAlignment="1" applyProtection="1">
      <alignment wrapText="1"/>
      <protection locked="0"/>
    </xf>
    <xf numFmtId="0" fontId="5" fillId="0" borderId="5" xfId="0" applyFont="1" applyBorder="1" applyAlignment="1" applyProtection="1">
      <alignment horizontal="center"/>
    </xf>
    <xf numFmtId="0" fontId="5" fillId="6" borderId="6" xfId="0" applyFont="1" applyFill="1" applyBorder="1" applyAlignment="1" applyProtection="1">
      <alignment wrapText="1"/>
      <protection locked="0"/>
    </xf>
    <xf numFmtId="0" fontId="5" fillId="6" borderId="1" xfId="0" applyFont="1" applyFill="1" applyBorder="1" applyAlignment="1" applyProtection="1">
      <alignment wrapText="1"/>
      <protection locked="0"/>
    </xf>
    <xf numFmtId="0" fontId="5" fillId="0" borderId="7" xfId="0" applyFont="1" applyBorder="1" applyAlignment="1" applyProtection="1">
      <alignment wrapText="1"/>
      <protection locked="0"/>
    </xf>
    <xf numFmtId="0" fontId="5" fillId="0" borderId="5" xfId="0" quotePrefix="1" applyFont="1" applyBorder="1" applyAlignment="1" applyProtection="1">
      <alignment horizontal="center"/>
    </xf>
    <xf numFmtId="0" fontId="5" fillId="0" borderId="6" xfId="0" applyFont="1" applyBorder="1" applyAlignment="1" applyProtection="1">
      <alignment wrapText="1"/>
      <protection locked="0"/>
    </xf>
    <xf numFmtId="0" fontId="5" fillId="0" borderId="5" xfId="0" applyFont="1" applyBorder="1" applyAlignment="1" applyProtection="1">
      <alignment wrapText="1"/>
    </xf>
    <xf numFmtId="0" fontId="5" fillId="0" borderId="5" xfId="0" applyFont="1" applyBorder="1" applyAlignment="1" applyProtection="1">
      <alignment horizontal="center" wrapText="1"/>
      <protection locked="0"/>
    </xf>
    <xf numFmtId="0" fontId="6" fillId="5" borderId="4" xfId="0" applyFont="1" applyFill="1" applyBorder="1" applyAlignment="1" applyProtection="1">
      <alignment wrapText="1"/>
    </xf>
    <xf numFmtId="0" fontId="6" fillId="5" borderId="2" xfId="0" applyFont="1" applyFill="1" applyBorder="1" applyAlignment="1" applyProtection="1">
      <alignment wrapText="1"/>
    </xf>
    <xf numFmtId="0" fontId="6" fillId="5" borderId="5" xfId="0" applyFont="1" applyFill="1" applyBorder="1" applyAlignment="1" applyProtection="1">
      <alignment wrapText="1"/>
    </xf>
    <xf numFmtId="0" fontId="6" fillId="5" borderId="5" xfId="0" applyFont="1" applyFill="1" applyBorder="1" applyAlignment="1" applyProtection="1">
      <alignment horizontal="center"/>
    </xf>
    <xf numFmtId="0" fontId="7" fillId="5" borderId="4" xfId="0" applyFont="1" applyFill="1" applyBorder="1" applyAlignment="1">
      <alignment wrapText="1"/>
    </xf>
    <xf numFmtId="0" fontId="7" fillId="5" borderId="2" xfId="0" applyFont="1" applyFill="1" applyBorder="1" applyAlignment="1" applyProtection="1">
      <alignment wrapText="1"/>
      <protection locked="0"/>
    </xf>
    <xf numFmtId="0" fontId="7" fillId="5" borderId="5" xfId="0" applyFont="1" applyFill="1" applyBorder="1" applyAlignment="1" applyProtection="1">
      <alignment wrapText="1"/>
    </xf>
    <xf numFmtId="0" fontId="7" fillId="5" borderId="5" xfId="0" applyFont="1" applyFill="1" applyBorder="1" applyAlignment="1" applyProtection="1">
      <alignment horizontal="center"/>
    </xf>
    <xf numFmtId="0" fontId="7" fillId="5" borderId="2" xfId="0" applyFont="1" applyFill="1" applyBorder="1" applyAlignment="1" applyProtection="1">
      <alignment wrapText="1"/>
    </xf>
    <xf numFmtId="0" fontId="7" fillId="5" borderId="6" xfId="0" applyFont="1" applyFill="1" applyBorder="1" applyAlignment="1" applyProtection="1">
      <alignment wrapText="1"/>
    </xf>
    <xf numFmtId="0" fontId="7" fillId="5" borderId="4" xfId="0" applyFont="1" applyFill="1" applyBorder="1" applyAlignment="1" applyProtection="1">
      <alignment wrapText="1"/>
    </xf>
    <xf numFmtId="0" fontId="7" fillId="5" borderId="12" xfId="0" applyFont="1" applyFill="1" applyBorder="1" applyAlignment="1" applyProtection="1">
      <alignment wrapText="1"/>
    </xf>
    <xf numFmtId="0" fontId="7" fillId="5" borderId="13" xfId="0" applyFont="1" applyFill="1" applyBorder="1" applyAlignment="1" applyProtection="1">
      <alignment wrapText="1"/>
    </xf>
    <xf numFmtId="0" fontId="7" fillId="5" borderId="14" xfId="0" applyFont="1" applyFill="1" applyBorder="1" applyAlignment="1" applyProtection="1">
      <alignment horizontal="center"/>
    </xf>
    <xf numFmtId="0" fontId="0" fillId="2" borderId="10" xfId="0" applyFill="1" applyBorder="1" applyAlignment="1">
      <alignment horizontal="center" wrapText="1"/>
    </xf>
    <xf numFmtId="0" fontId="8" fillId="3" borderId="6" xfId="0" applyFont="1" applyFill="1" applyBorder="1" applyAlignment="1" applyProtection="1">
      <alignment horizontal="left" vertical="top"/>
      <protection locked="0"/>
    </xf>
    <xf numFmtId="0" fontId="8" fillId="3" borderId="21" xfId="0" applyFont="1" applyFill="1" applyBorder="1" applyAlignment="1" applyProtection="1">
      <alignment horizontal="left" vertical="top"/>
      <protection locked="0"/>
    </xf>
    <xf numFmtId="0" fontId="0" fillId="7" borderId="18" xfId="0" applyFill="1" applyBorder="1" applyAlignment="1" applyProtection="1">
      <alignment horizontal="center" vertical="top" wrapText="1"/>
    </xf>
    <xf numFmtId="0" fontId="0" fillId="7" borderId="25" xfId="0" applyFill="1" applyBorder="1" applyAlignment="1" applyProtection="1">
      <alignment horizontal="center" vertical="top" wrapText="1"/>
    </xf>
    <xf numFmtId="0" fontId="0" fillId="7" borderId="26" xfId="0" applyFill="1" applyBorder="1" applyAlignment="1" applyProtection="1">
      <alignment horizontal="center" vertical="top" wrapText="1"/>
    </xf>
    <xf numFmtId="0" fontId="0" fillId="0" borderId="15" xfId="0" applyBorder="1" applyAlignment="1" applyProtection="1">
      <alignment horizontal="center" vertical="top" wrapText="1"/>
    </xf>
    <xf numFmtId="0" fontId="0" fillId="0" borderId="22" xfId="0" applyBorder="1" applyAlignment="1" applyProtection="1">
      <alignment horizontal="center" vertical="top" wrapText="1"/>
    </xf>
    <xf numFmtId="0" fontId="0" fillId="0" borderId="23" xfId="0" applyBorder="1" applyAlignment="1" applyProtection="1">
      <alignment horizontal="center" vertical="top" wrapText="1"/>
    </xf>
    <xf numFmtId="0" fontId="0" fillId="0" borderId="11" xfId="0" applyBorder="1" applyAlignment="1" applyProtection="1">
      <alignment horizontal="center" vertical="top" wrapText="1"/>
    </xf>
    <xf numFmtId="0" fontId="0" fillId="0" borderId="0" xfId="0" applyBorder="1" applyAlignment="1" applyProtection="1">
      <alignment horizontal="center" vertical="top" wrapText="1"/>
    </xf>
    <xf numFmtId="0" fontId="0" fillId="0" borderId="24" xfId="0" applyBorder="1" applyAlignment="1" applyProtection="1">
      <alignment horizontal="center" vertical="top" wrapText="1"/>
    </xf>
    <xf numFmtId="0" fontId="0" fillId="0" borderId="12" xfId="0" applyBorder="1" applyAlignment="1" applyProtection="1">
      <alignment horizontal="center" vertical="top" wrapText="1"/>
    </xf>
    <xf numFmtId="0" fontId="0" fillId="0" borderId="13" xfId="0" applyBorder="1" applyAlignment="1" applyProtection="1">
      <alignment horizontal="center" vertical="top" wrapText="1"/>
    </xf>
    <xf numFmtId="0" fontId="0" fillId="0" borderId="14" xfId="0" applyBorder="1" applyAlignment="1" applyProtection="1">
      <alignment horizontal="center" vertical="top" wrapText="1"/>
    </xf>
    <xf numFmtId="0" fontId="0" fillId="7" borderId="22" xfId="0" applyFill="1" applyBorder="1" applyAlignment="1" applyProtection="1">
      <alignment horizontal="center" vertical="top" wrapText="1"/>
    </xf>
    <xf numFmtId="0" fontId="0" fillId="7" borderId="0" xfId="0" applyFill="1" applyBorder="1" applyAlignment="1" applyProtection="1">
      <alignment horizontal="center" vertical="top" wrapText="1"/>
    </xf>
    <xf numFmtId="0" fontId="0" fillId="7" borderId="15" xfId="0" applyFill="1" applyBorder="1" applyAlignment="1" applyProtection="1">
      <alignment horizontal="center" vertical="top" wrapText="1"/>
    </xf>
    <xf numFmtId="0" fontId="0" fillId="7" borderId="23" xfId="0" applyFill="1" applyBorder="1" applyAlignment="1" applyProtection="1">
      <alignment horizontal="center" vertical="top" wrapText="1"/>
    </xf>
    <xf numFmtId="0" fontId="0" fillId="7" borderId="12" xfId="0" applyFill="1" applyBorder="1" applyAlignment="1" applyProtection="1">
      <alignment horizontal="center" vertical="top" wrapText="1"/>
    </xf>
    <xf numFmtId="0" fontId="0" fillId="7" borderId="13" xfId="0" applyFill="1" applyBorder="1" applyAlignment="1" applyProtection="1">
      <alignment horizontal="center" vertical="top" wrapText="1"/>
    </xf>
    <xf numFmtId="0" fontId="0" fillId="7" borderId="14" xfId="0" applyFill="1" applyBorder="1" applyAlignment="1" applyProtection="1">
      <alignment horizontal="center" vertical="top" wrapText="1"/>
    </xf>
    <xf numFmtId="0" fontId="8" fillId="0" borderId="15" xfId="0" applyFont="1" applyBorder="1" applyAlignment="1" applyProtection="1">
      <alignment horizontal="center" vertical="top" wrapText="1"/>
    </xf>
    <xf numFmtId="0" fontId="8" fillId="0" borderId="15" xfId="0" applyFont="1" applyBorder="1" applyAlignment="1" applyProtection="1">
      <alignment horizontal="center" vertical="top" wrapText="1"/>
      <protection locked="0"/>
    </xf>
    <xf numFmtId="0" fontId="8" fillId="0" borderId="22" xfId="0" applyFont="1" applyBorder="1" applyAlignment="1" applyProtection="1">
      <alignment horizontal="center" vertical="top" wrapText="1"/>
      <protection locked="0"/>
    </xf>
    <xf numFmtId="0" fontId="8" fillId="0" borderId="23" xfId="0" applyFont="1" applyBorder="1" applyAlignment="1" applyProtection="1">
      <alignment horizontal="center" vertical="top" wrapText="1"/>
      <protection locked="0"/>
    </xf>
    <xf numFmtId="0" fontId="8" fillId="0" borderId="11" xfId="0" applyFont="1" applyBorder="1" applyAlignment="1" applyProtection="1">
      <alignment horizontal="center" vertical="top" wrapText="1"/>
      <protection locked="0"/>
    </xf>
    <xf numFmtId="0" fontId="8" fillId="0" borderId="0" xfId="0" applyFont="1" applyBorder="1" applyAlignment="1" applyProtection="1">
      <alignment horizontal="center" vertical="top" wrapText="1"/>
      <protection locked="0"/>
    </xf>
    <xf numFmtId="0" fontId="8" fillId="0" borderId="24" xfId="0" applyFont="1" applyBorder="1" applyAlignment="1" applyProtection="1">
      <alignment horizontal="center" vertical="top" wrapText="1"/>
      <protection locked="0"/>
    </xf>
    <xf numFmtId="0" fontId="8" fillId="0" borderId="12" xfId="0" applyFont="1" applyBorder="1" applyAlignment="1" applyProtection="1">
      <alignment horizontal="center" vertical="top" wrapText="1"/>
      <protection locked="0"/>
    </xf>
    <xf numFmtId="0" fontId="8" fillId="0" borderId="13" xfId="0" applyFont="1" applyBorder="1" applyAlignment="1" applyProtection="1">
      <alignment horizontal="center" vertical="top" wrapText="1"/>
      <protection locked="0"/>
    </xf>
    <xf numFmtId="0" fontId="8" fillId="0" borderId="14" xfId="0" applyFont="1" applyBorder="1" applyAlignment="1" applyProtection="1">
      <alignment horizontal="center" vertical="top" wrapText="1"/>
      <protection locked="0"/>
    </xf>
    <xf numFmtId="0" fontId="0" fillId="3" borderId="15" xfId="0" applyFill="1" applyBorder="1" applyAlignment="1">
      <alignment horizontal="left" vertical="center" wrapText="1"/>
    </xf>
    <xf numFmtId="0" fontId="0" fillId="3" borderId="11" xfId="0" applyFill="1" applyBorder="1" applyAlignment="1">
      <alignment horizontal="left" vertical="center" wrapText="1"/>
    </xf>
    <xf numFmtId="0" fontId="0" fillId="3" borderId="12" xfId="0" applyFill="1" applyBorder="1" applyAlignment="1">
      <alignment horizontal="left" vertical="center" wrapText="1"/>
    </xf>
    <xf numFmtId="0" fontId="0" fillId="3" borderId="19" xfId="0" applyFill="1" applyBorder="1" applyAlignment="1" applyProtection="1">
      <alignment horizontal="center" vertical="center" wrapText="1"/>
      <protection locked="0"/>
    </xf>
    <xf numFmtId="0" fontId="0" fillId="3" borderId="20" xfId="0" applyFill="1" applyBorder="1" applyAlignment="1" applyProtection="1">
      <alignment horizontal="center" vertical="center" wrapText="1"/>
      <protection locked="0"/>
    </xf>
    <xf numFmtId="0" fontId="0" fillId="3" borderId="2" xfId="0" applyFill="1" applyBorder="1" applyAlignment="1" applyProtection="1">
      <alignment horizontal="center" vertical="center" wrapText="1"/>
      <protection locked="0"/>
    </xf>
    <xf numFmtId="0" fontId="8" fillId="3" borderId="6" xfId="0" applyFont="1" applyFill="1" applyBorder="1" applyAlignment="1" applyProtection="1">
      <alignment horizontal="left" vertical="top"/>
      <protection locked="0"/>
    </xf>
    <xf numFmtId="0" fontId="8" fillId="3" borderId="21" xfId="0" applyFont="1" applyFill="1" applyBorder="1" applyAlignment="1" applyProtection="1">
      <alignment horizontal="left" vertical="top"/>
      <protection locked="0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3505200</xdr:colOff>
      <xdr:row>0</xdr:row>
      <xdr:rowOff>0</xdr:rowOff>
    </xdr:from>
    <xdr:to>
      <xdr:col>3</xdr:col>
      <xdr:colOff>0</xdr:colOff>
      <xdr:row>0</xdr:row>
      <xdr:rowOff>442912</xdr:rowOff>
    </xdr:to>
    <xdr:pic macro="[0]!ResetScore">
      <xdr:nvPicPr>
        <xdr:cNvPr id="3" name="Picture 2">
          <a:extLst>
            <a:ext uri="{FF2B5EF4-FFF2-40B4-BE49-F238E27FC236}">
              <a16:creationId xmlns:a16="http://schemas.microsoft.com/office/drawing/2014/main" id="{B818A3ED-EC59-4E0C-B038-ADC658C4625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10363" y="0"/>
          <a:ext cx="442912" cy="442912"/>
        </a:xfrm>
        <a:prstGeom prst="rect">
          <a:avLst/>
        </a:prstGeom>
      </xdr:spPr>
    </xdr:pic>
    <xdr:clientData/>
  </xdr:twoCellAnchor>
  <xdr:twoCellAnchor editAs="oneCell">
    <xdr:from>
      <xdr:col>6</xdr:col>
      <xdr:colOff>134938</xdr:colOff>
      <xdr:row>27</xdr:row>
      <xdr:rowOff>417273</xdr:rowOff>
    </xdr:from>
    <xdr:to>
      <xdr:col>7</xdr:col>
      <xdr:colOff>563562</xdr:colOff>
      <xdr:row>34</xdr:row>
      <xdr:rowOff>146557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992B3993-5915-485E-ACB0-6ECE3BED621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61438" y="6933961"/>
          <a:ext cx="1039812" cy="1364409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J131"/>
  <sheetViews>
    <sheetView tabSelected="1" zoomScaleNormal="100" workbookViewId="0">
      <pane ySplit="1" topLeftCell="A18" activePane="bottomLeft" state="frozen"/>
      <selection pane="bottomLeft" activeCell="J31" sqref="J31"/>
    </sheetView>
  </sheetViews>
  <sheetFormatPr defaultRowHeight="14.5" x14ac:dyDescent="0.35"/>
  <cols>
    <col min="1" max="1" width="27.1796875" style="9" customWidth="1"/>
    <col min="2" max="2" width="17.7265625" style="9" customWidth="1"/>
    <col min="3" max="3" width="55.26953125" style="9" customWidth="1"/>
    <col min="4" max="4" width="8.7265625" style="11" customWidth="1"/>
  </cols>
  <sheetData>
    <row r="1" spans="1:10" ht="36" customHeight="1" thickBot="1" x14ac:dyDescent="0.4">
      <c r="A1" s="8" t="s">
        <v>0</v>
      </c>
      <c r="B1" s="2" t="s">
        <v>1</v>
      </c>
      <c r="C1" s="10" t="s">
        <v>2</v>
      </c>
      <c r="D1" s="47" t="s">
        <v>3</v>
      </c>
      <c r="F1" s="50"/>
      <c r="G1" s="51"/>
      <c r="H1" s="51"/>
      <c r="I1" s="52"/>
    </row>
    <row r="2" spans="1:10" ht="28.5" customHeight="1" x14ac:dyDescent="0.35">
      <c r="A2" s="33" t="s">
        <v>4</v>
      </c>
      <c r="B2" s="34"/>
      <c r="C2" s="35"/>
      <c r="D2" s="36"/>
      <c r="F2" s="53" t="s">
        <v>78</v>
      </c>
      <c r="G2" s="54"/>
      <c r="H2" s="54"/>
      <c r="I2" s="55"/>
    </row>
    <row r="3" spans="1:10" ht="14.25" customHeight="1" x14ac:dyDescent="0.35">
      <c r="A3" s="16" t="s">
        <v>5</v>
      </c>
      <c r="B3" s="17" t="s">
        <v>6</v>
      </c>
      <c r="C3" s="18"/>
      <c r="D3" s="19">
        <f>IF(B3='Internal-Ref'!B15,'Internal-Ref'!C15,IF(B3='Internal-Ref'!B16,'Internal-Ref'!C16,IF(B3='Internal-Ref'!B17,'Internal-Ref'!C17,IF(B3='Internal-Ref'!B18,'Internal-Ref'!C18,IF(B3='Internal-Ref'!B19,'Internal-Ref'!C19,IF(B3='Internal-Ref'!B20,'Internal-Ref'!C20,IF(B3='Internal-Ref'!B21,'Internal-Ref'!C21,IF(B3='Internal-Ref'!B22,'Internal-Ref'!C22,"None"))))))))</f>
        <v>6</v>
      </c>
      <c r="F3" s="56"/>
      <c r="G3" s="57"/>
      <c r="H3" s="57"/>
      <c r="I3" s="58"/>
    </row>
    <row r="4" spans="1:10" ht="14.25" customHeight="1" x14ac:dyDescent="0.35">
      <c r="A4" s="16" t="s">
        <v>10</v>
      </c>
      <c r="B4" s="17" t="s">
        <v>19</v>
      </c>
      <c r="C4" s="18"/>
      <c r="D4" s="19">
        <f>IF(B4='Internal-Ref'!B15,'Internal-Ref'!C15,IF(B4='Internal-Ref'!B16,'Internal-Ref'!C16,IF(B4='Internal-Ref'!B17,'Internal-Ref'!C17,IF(B4='Internal-Ref'!B18,'Internal-Ref'!C18,IF(B4='Internal-Ref'!B19,'Internal-Ref'!C19,IF(B4='Internal-Ref'!B20,'Internal-Ref'!C20,IF(B4='Internal-Ref'!B21,'Internal-Ref'!C21,IF(B4='Internal-Ref'!B22,'Internal-Ref'!C22,"None"))))))))</f>
        <v>7</v>
      </c>
      <c r="F4" s="56"/>
      <c r="G4" s="57"/>
      <c r="H4" s="57"/>
      <c r="I4" s="58"/>
    </row>
    <row r="5" spans="1:10" ht="14.25" customHeight="1" thickBot="1" x14ac:dyDescent="0.4">
      <c r="A5" s="16" t="s">
        <v>11</v>
      </c>
      <c r="B5" s="17" t="s">
        <v>19</v>
      </c>
      <c r="C5" s="20"/>
      <c r="D5" s="21">
        <f>IF(B5='Internal-Ref'!B15,'Internal-Ref'!C15,IF(B5='Internal-Ref'!B16,'Internal-Ref'!C16,IF(B5='Internal-Ref'!B17,'Internal-Ref'!C17,IF(B5='Internal-Ref'!B18,'Internal-Ref'!C18,IF(B5='Internal-Ref'!B19,'Internal-Ref'!C19,IF(B5='Internal-Ref'!B20,'Internal-Ref'!C20,IF(B5='Internal-Ref'!B21,'Internal-Ref'!C21,IF(B5='Internal-Ref'!B22,'Internal-Ref'!C22,"None"))))))))</f>
        <v>7</v>
      </c>
      <c r="F5" s="59"/>
      <c r="G5" s="60"/>
      <c r="H5" s="60"/>
      <c r="I5" s="61"/>
    </row>
    <row r="6" spans="1:10" ht="14.25" customHeight="1" x14ac:dyDescent="0.35">
      <c r="A6" s="16" t="s">
        <v>14</v>
      </c>
      <c r="B6" s="17" t="s">
        <v>9</v>
      </c>
      <c r="C6" s="20"/>
      <c r="D6" s="21">
        <f>IF(B6='Internal-Ref'!B15,'Internal-Ref'!C15,IF(B6='Internal-Ref'!B16,'Internal-Ref'!C16,IF(B6='Internal-Ref'!B17,'Internal-Ref'!C17,IF(B6='Internal-Ref'!B18,'Internal-Ref'!C18,IF(B6='Internal-Ref'!B19,'Internal-Ref'!C19,IF(B6='Internal-Ref'!B20,'Internal-Ref'!C20,IF(B6='Internal-Ref'!B21,'Internal-Ref'!C21,IF(B6='Internal-Ref'!B22,'Internal-Ref'!C22,"None"))))))))</f>
        <v>0</v>
      </c>
      <c r="F6" s="62"/>
      <c r="G6" s="62"/>
      <c r="H6" s="62"/>
      <c r="I6" s="62"/>
    </row>
    <row r="7" spans="1:10" ht="14.65" customHeight="1" thickBot="1" x14ac:dyDescent="0.4">
      <c r="A7" s="16" t="s">
        <v>16</v>
      </c>
      <c r="B7" s="17" t="s">
        <v>23</v>
      </c>
      <c r="C7" s="20"/>
      <c r="D7" s="21">
        <f>IF(B7='Internal-Ref'!B15,'Internal-Ref'!C15,IF(B7='Internal-Ref'!B16,'Internal-Ref'!C16,IF(B7='Internal-Ref'!B17,'Internal-Ref'!C17,IF(B7='Internal-Ref'!B18,'Internal-Ref'!C18,IF(B7='Internal-Ref'!B19,'Internal-Ref'!C19,IF(B7='Internal-Ref'!B20,'Internal-Ref'!C20,IF(B7='Internal-Ref'!B21,'Internal-Ref'!C21,IF(B7='Internal-Ref'!B22,'Internal-Ref'!C22,"None"))))))))</f>
        <v>2</v>
      </c>
      <c r="F7" s="63"/>
      <c r="G7" s="63"/>
      <c r="H7" s="63"/>
      <c r="I7" s="63"/>
    </row>
    <row r="8" spans="1:10" ht="14.25" customHeight="1" x14ac:dyDescent="0.35">
      <c r="A8" s="16" t="s">
        <v>17</v>
      </c>
      <c r="B8" s="17" t="s">
        <v>19</v>
      </c>
      <c r="C8" s="20"/>
      <c r="D8" s="21">
        <f>IF(B8='Internal-Ref'!B15,'Internal-Ref'!C15,IF(B8='Internal-Ref'!B16,'Internal-Ref'!C16,IF(B8='Internal-Ref'!B17,'Internal-Ref'!C17,IF(B8='Internal-Ref'!B18,'Internal-Ref'!C18,IF(B8='Internal-Ref'!B19,'Internal-Ref'!C19,IF(B8='Internal-Ref'!B20,'Internal-Ref'!C20,IF(B8='Internal-Ref'!B21,'Internal-Ref'!C21,IF(B8='Internal-Ref'!B22,'Internal-Ref'!C22,"None"))))))))</f>
        <v>7</v>
      </c>
      <c r="F8" s="53" t="s">
        <v>79</v>
      </c>
      <c r="G8" s="54"/>
      <c r="H8" s="54"/>
      <c r="I8" s="55"/>
    </row>
    <row r="9" spans="1:10" ht="14.25" customHeight="1" x14ac:dyDescent="0.35">
      <c r="A9" s="16" t="s">
        <v>18</v>
      </c>
      <c r="B9" s="17" t="s">
        <v>15</v>
      </c>
      <c r="C9" s="20"/>
      <c r="D9" s="21">
        <f>IF(B9='Internal-Ref'!B15,'Internal-Ref'!C15,IF(B9='Internal-Ref'!B16,'Internal-Ref'!C16,IF(B9='Internal-Ref'!B17,'Internal-Ref'!C17,IF(B9='Internal-Ref'!B18,'Internal-Ref'!C18,IF(B9='Internal-Ref'!B19,'Internal-Ref'!C19,IF(B9='Internal-Ref'!B20,'Internal-Ref'!C20,IF(B9='Internal-Ref'!B21,'Internal-Ref'!C21,IF(B9='Internal-Ref'!B22,'Internal-Ref'!C22,"None"))))))))</f>
        <v>3</v>
      </c>
      <c r="F9" s="56"/>
      <c r="G9" s="57"/>
      <c r="H9" s="57"/>
      <c r="I9" s="58"/>
    </row>
    <row r="10" spans="1:10" ht="15.5" x14ac:dyDescent="0.35">
      <c r="A10" s="37" t="s">
        <v>20</v>
      </c>
      <c r="B10" s="38"/>
      <c r="C10" s="39"/>
      <c r="D10" s="40"/>
      <c r="F10" s="56"/>
      <c r="G10" s="57"/>
      <c r="H10" s="57"/>
      <c r="I10" s="58"/>
    </row>
    <row r="11" spans="1:10" ht="14.25" customHeight="1" x14ac:dyDescent="0.35">
      <c r="A11" s="22" t="s">
        <v>21</v>
      </c>
      <c r="B11" s="23" t="s">
        <v>19</v>
      </c>
      <c r="C11" s="24"/>
      <c r="D11" s="25">
        <f>IF(B11='Internal-Ref'!B15,'Internal-Ref'!C15,IF(B11='Internal-Ref'!B16,'Internal-Ref'!C16,IF(B11='Internal-Ref'!B17,'Internal-Ref'!C17,IF(B11='Internal-Ref'!B18,'Internal-Ref'!C18,IF(B11='Internal-Ref'!B19,'Internal-Ref'!C19,IF(B11='Internal-Ref'!B20,'Internal-Ref'!C20,IF(B11='Internal-Ref'!B21,'Internal-Ref'!C21,IF(B11='Internal-Ref'!B22,'Internal-Ref'!C22,"None"))))))))</f>
        <v>7</v>
      </c>
      <c r="F11" s="56"/>
      <c r="G11" s="57"/>
      <c r="H11" s="57"/>
      <c r="I11" s="58"/>
    </row>
    <row r="12" spans="1:10" ht="25.5" customHeight="1" x14ac:dyDescent="0.35">
      <c r="A12" s="22" t="s">
        <v>73</v>
      </c>
      <c r="B12" s="23" t="s">
        <v>12</v>
      </c>
      <c r="C12" s="24"/>
      <c r="D12" s="25">
        <f>IF(B12='Internal-Ref'!B15,'Internal-Ref'!C15,IF(B12='Internal-Ref'!B16,'Internal-Ref'!C16,IF(B12='Internal-Ref'!B17,'Internal-Ref'!C17,IF(B12='Internal-Ref'!B18,'Internal-Ref'!C18,IF(B12='Internal-Ref'!B19,'Internal-Ref'!C19,IF(B12='Internal-Ref'!B20,'Internal-Ref'!C20,IF(B12='Internal-Ref'!B21,'Internal-Ref'!C21,IF(B12='Internal-Ref'!B22,'Internal-Ref'!C22,"None"))))))))</f>
        <v>1</v>
      </c>
      <c r="F12" s="56"/>
      <c r="G12" s="57"/>
      <c r="H12" s="57"/>
      <c r="I12" s="58"/>
    </row>
    <row r="13" spans="1:10" ht="14.25" customHeight="1" x14ac:dyDescent="0.35">
      <c r="A13" s="22" t="s">
        <v>22</v>
      </c>
      <c r="B13" s="23" t="s">
        <v>9</v>
      </c>
      <c r="C13" s="24"/>
      <c r="D13" s="25">
        <f>IF(B13='Internal-Ref'!B15,'Internal-Ref'!C15,IF(B13='Internal-Ref'!B16,'Internal-Ref'!C16,IF(B13='Internal-Ref'!B17,'Internal-Ref'!C17,IF(B13='Internal-Ref'!B18,'Internal-Ref'!C18,IF(B13='Internal-Ref'!B19,'Internal-Ref'!C19,IF(B13='Internal-Ref'!B20,'Internal-Ref'!C20,IF(B13='Internal-Ref'!B21,'Internal-Ref'!C21,IF(B13='Internal-Ref'!B22,'Internal-Ref'!C22,"None"))))))))</f>
        <v>0</v>
      </c>
      <c r="F13" s="56"/>
      <c r="G13" s="57"/>
      <c r="H13" s="57"/>
      <c r="I13" s="58"/>
    </row>
    <row r="14" spans="1:10" ht="31.5" thickBot="1" x14ac:dyDescent="0.4">
      <c r="A14" s="37" t="s">
        <v>70</v>
      </c>
      <c r="B14" s="41"/>
      <c r="C14" s="42"/>
      <c r="D14" s="40"/>
      <c r="F14" s="59"/>
      <c r="G14" s="60"/>
      <c r="H14" s="60"/>
      <c r="I14" s="61"/>
      <c r="J14" s="9"/>
    </row>
    <row r="15" spans="1:10" ht="27" thickBot="1" x14ac:dyDescent="0.4">
      <c r="A15" s="16" t="s">
        <v>63</v>
      </c>
      <c r="B15" s="17" t="s">
        <v>6</v>
      </c>
      <c r="C15" s="26"/>
      <c r="D15" s="21">
        <f>IF(B15='Internal-Ref'!B15,'Internal-Ref'!C15,IF(B15='Internal-Ref'!B16,'Internal-Ref'!C16,IF(B15='Internal-Ref'!B17,'Internal-Ref'!C17,IF(B15='Internal-Ref'!B18,'Internal-Ref'!C18,IF(B15='Internal-Ref'!B19,'Internal-Ref'!C19,IF(B15='Internal-Ref'!B20,'Internal-Ref'!C20,IF(B15='Internal-Ref'!B21,'Internal-Ref'!C21,IF(B15='Internal-Ref'!B22,'Internal-Ref'!C22,"None"))))))))</f>
        <v>6</v>
      </c>
      <c r="F15" s="50"/>
      <c r="G15" s="51"/>
      <c r="H15" s="51"/>
      <c r="I15" s="52"/>
    </row>
    <row r="16" spans="1:10" ht="26.5" x14ac:dyDescent="0.35">
      <c r="A16" s="16" t="s">
        <v>62</v>
      </c>
      <c r="B16" s="17" t="s">
        <v>6</v>
      </c>
      <c r="C16" s="26"/>
      <c r="D16" s="21">
        <f>IF(B16='Internal-Ref'!B15,'Internal-Ref'!C15,IF(B16='Internal-Ref'!B16,'Internal-Ref'!C16,IF(B16='Internal-Ref'!B17,'Internal-Ref'!C17,IF(B16='Internal-Ref'!B18,'Internal-Ref'!C18,IF(B16='Internal-Ref'!B19,'Internal-Ref'!C19,IF(B16='Internal-Ref'!B20,'Internal-Ref'!C20,IF(B16='Internal-Ref'!B21,'Internal-Ref'!C21,IF(B16='Internal-Ref'!B22,'Internal-Ref'!C22,"None"))))))))</f>
        <v>6</v>
      </c>
      <c r="F16" s="69" t="s">
        <v>80</v>
      </c>
      <c r="G16" s="54"/>
      <c r="H16" s="54"/>
      <c r="I16" s="55"/>
    </row>
    <row r="17" spans="1:9" ht="26.5" x14ac:dyDescent="0.35">
      <c r="A17" s="16" t="s">
        <v>64</v>
      </c>
      <c r="B17" s="17" t="s">
        <v>30</v>
      </c>
      <c r="C17" s="27"/>
      <c r="D17" s="21">
        <f>IF(B17='Internal-Ref'!B15,'Internal-Ref'!C15,IF(B17='Internal-Ref'!B16,'Internal-Ref'!C16,IF(B17='Internal-Ref'!B17,'Internal-Ref'!C17,IF(B17='Internal-Ref'!B18,'Internal-Ref'!C18,IF(B17='Internal-Ref'!B19,'Internal-Ref'!C19,IF(B17='Internal-Ref'!B20,'Internal-Ref'!C20,IF(B17='Internal-Ref'!B21,'Internal-Ref'!C21,IF(B17='Internal-Ref'!B22,'Internal-Ref'!C22,"None"))))))))</f>
        <v>5</v>
      </c>
      <c r="F17" s="56"/>
      <c r="G17" s="57"/>
      <c r="H17" s="57"/>
      <c r="I17" s="58"/>
    </row>
    <row r="18" spans="1:9" ht="26.65" customHeight="1" x14ac:dyDescent="0.35">
      <c r="A18" s="16" t="s">
        <v>69</v>
      </c>
      <c r="B18" s="17" t="s">
        <v>30</v>
      </c>
      <c r="C18" s="27"/>
      <c r="D18" s="21">
        <f>IF(B18='Internal-Ref'!B15,'Internal-Ref'!C15,IF(B18='Internal-Ref'!B16,'Internal-Ref'!C16,IF(B18='Internal-Ref'!B17,'Internal-Ref'!C17,IF(B18='Internal-Ref'!B18,'Internal-Ref'!C18,IF(B18='Internal-Ref'!B19,'Internal-Ref'!C19,IF(B18='Internal-Ref'!B20,'Internal-Ref'!C20,IF(B18='Internal-Ref'!B21,'Internal-Ref'!C21,IF(B18='Internal-Ref'!B22,'Internal-Ref'!C22,"None"))))))))</f>
        <v>5</v>
      </c>
      <c r="F18" s="56"/>
      <c r="G18" s="57"/>
      <c r="H18" s="57"/>
      <c r="I18" s="58"/>
    </row>
    <row r="19" spans="1:9" ht="14.25" customHeight="1" x14ac:dyDescent="0.35">
      <c r="A19" s="16" t="s">
        <v>65</v>
      </c>
      <c r="B19" s="17" t="s">
        <v>9</v>
      </c>
      <c r="C19" s="20"/>
      <c r="D19" s="21">
        <f>IF(B19='Internal-Ref'!B15,'Internal-Ref'!C15,IF(B19='Internal-Ref'!B16,'Internal-Ref'!C16,IF(B19='Internal-Ref'!B17,'Internal-Ref'!C17,IF(B19='Internal-Ref'!B18,'Internal-Ref'!C18,IF(B19='Internal-Ref'!B19,'Internal-Ref'!C19,IF(B19='Internal-Ref'!B20,'Internal-Ref'!C20,IF(B19='Internal-Ref'!B21,'Internal-Ref'!C21,IF(B19='Internal-Ref'!B22,'Internal-Ref'!C22,"None"))))))))</f>
        <v>0</v>
      </c>
      <c r="F19" s="56"/>
      <c r="G19" s="57"/>
      <c r="H19" s="57"/>
      <c r="I19" s="58"/>
    </row>
    <row r="20" spans="1:9" ht="14.25" customHeight="1" x14ac:dyDescent="0.35">
      <c r="A20" s="16" t="s">
        <v>66</v>
      </c>
      <c r="B20" s="17" t="s">
        <v>19</v>
      </c>
      <c r="C20" s="20"/>
      <c r="D20" s="21">
        <f>IF(B20='Internal-Ref'!B15,'Internal-Ref'!C15,IF(B20='Internal-Ref'!B16,'Internal-Ref'!C16,IF(B20='Internal-Ref'!B17,'Internal-Ref'!C17,IF(B20='Internal-Ref'!B18,'Internal-Ref'!C18,IF(B20='Internal-Ref'!B19,'Internal-Ref'!C19,IF(B20='Internal-Ref'!B20,'Internal-Ref'!C20,IF(B20='Internal-Ref'!B21,'Internal-Ref'!C21,IF(B20='Internal-Ref'!B22,'Internal-Ref'!C22,"None"))))))))</f>
        <v>7</v>
      </c>
      <c r="F20" s="56"/>
      <c r="G20" s="57"/>
      <c r="H20" s="57"/>
      <c r="I20" s="58"/>
    </row>
    <row r="21" spans="1:9" ht="14.25" customHeight="1" x14ac:dyDescent="0.35">
      <c r="A21" s="16" t="s">
        <v>67</v>
      </c>
      <c r="B21" s="17" t="s">
        <v>12</v>
      </c>
      <c r="C21" s="20"/>
      <c r="D21" s="21">
        <f>IF(B21='Internal-Ref'!B15,'Internal-Ref'!C15,IF(B21='Internal-Ref'!B16,'Internal-Ref'!C16,IF(B21='Internal-Ref'!B17,'Internal-Ref'!C17,IF(B21='Internal-Ref'!B18,'Internal-Ref'!C18,IF(B21='Internal-Ref'!B19,'Internal-Ref'!C19,IF(B21='Internal-Ref'!B20,'Internal-Ref'!C20,IF(B21='Internal-Ref'!B21,'Internal-Ref'!C21,IF(B21='Internal-Ref'!B22,'Internal-Ref'!C22,"None"))))))))</f>
        <v>1</v>
      </c>
      <c r="F21" s="56"/>
      <c r="G21" s="57"/>
      <c r="H21" s="57"/>
      <c r="I21" s="58"/>
    </row>
    <row r="22" spans="1:9" ht="31" x14ac:dyDescent="0.35">
      <c r="A22" s="43" t="s">
        <v>72</v>
      </c>
      <c r="B22" s="41"/>
      <c r="C22" s="42"/>
      <c r="D22" s="40"/>
      <c r="F22" s="56"/>
      <c r="G22" s="57"/>
      <c r="H22" s="57"/>
      <c r="I22" s="58"/>
    </row>
    <row r="23" spans="1:9" x14ac:dyDescent="0.35">
      <c r="A23" s="22" t="s">
        <v>8</v>
      </c>
      <c r="B23" s="23" t="s">
        <v>15</v>
      </c>
      <c r="C23" s="28"/>
      <c r="D23" s="29">
        <f>IF(B23='Internal-Ref'!B15,'Internal-Ref'!C15,IF(B23='Internal-Ref'!B16,'Internal-Ref'!C16,IF(B23='Internal-Ref'!B17,'Internal-Ref'!C17,IF(B23='Internal-Ref'!B18,'Internal-Ref'!C18,IF(B23='Internal-Ref'!B19,'Internal-Ref'!C19,IF(B23='Internal-Ref'!B20,'Internal-Ref'!C20,IF(B23='Internal-Ref'!B21,'Internal-Ref'!C21,IF(B23='Internal-Ref'!B22,'Internal-Ref'!C22,"None"))))))))</f>
        <v>3</v>
      </c>
      <c r="F23" s="56"/>
      <c r="G23" s="57"/>
      <c r="H23" s="57"/>
      <c r="I23" s="58"/>
    </row>
    <row r="24" spans="1:9" x14ac:dyDescent="0.35">
      <c r="A24" s="22" t="s">
        <v>71</v>
      </c>
      <c r="B24" s="23" t="s">
        <v>9</v>
      </c>
      <c r="C24" s="24"/>
      <c r="D24" s="25">
        <f>IF(B24='Internal-Ref'!B15,'Internal-Ref'!C15,IF(B24='Internal-Ref'!B16,'Internal-Ref'!C16,IF(B24='Internal-Ref'!B17,'Internal-Ref'!C17,IF(B24='Internal-Ref'!B18,'Internal-Ref'!C18,IF(B24='Internal-Ref'!B19,'Internal-Ref'!C19,IF(B24='Internal-Ref'!B20,'Internal-Ref'!C20,IF(B24='Internal-Ref'!B21,'Internal-Ref'!C21,IF(B24='Internal-Ref'!B22,'Internal-Ref'!C22,"None"))))))))</f>
        <v>0</v>
      </c>
      <c r="F24" s="56"/>
      <c r="G24" s="57"/>
      <c r="H24" s="57"/>
      <c r="I24" s="58"/>
    </row>
    <row r="25" spans="1:9" ht="15" thickBot="1" x14ac:dyDescent="0.4">
      <c r="A25" s="22" t="s">
        <v>24</v>
      </c>
      <c r="B25" s="23" t="s">
        <v>9</v>
      </c>
      <c r="C25" s="30"/>
      <c r="D25" s="25">
        <f>IF(B25='Internal-Ref'!B15,'Internal-Ref'!C15,IF(B25='Internal-Ref'!B16,'Internal-Ref'!C16,IF(B25='Internal-Ref'!B17,'Internal-Ref'!C17,IF(B25='Internal-Ref'!B18,'Internal-Ref'!C18,IF(B25='Internal-Ref'!B19,'Internal-Ref'!C19,IF(B25='Internal-Ref'!B20,'Internal-Ref'!C20,IF(B25='Internal-Ref'!B21,'Internal-Ref'!C21,IF(B25='Internal-Ref'!B22,'Internal-Ref'!C22,"None"))))))))</f>
        <v>0</v>
      </c>
      <c r="F25" s="59"/>
      <c r="G25" s="60"/>
      <c r="H25" s="60"/>
      <c r="I25" s="61"/>
    </row>
    <row r="26" spans="1:9" x14ac:dyDescent="0.35">
      <c r="A26" s="22" t="s">
        <v>25</v>
      </c>
      <c r="B26" s="23" t="s">
        <v>9</v>
      </c>
      <c r="C26" s="30"/>
      <c r="D26" s="25">
        <f>IF(B26='Internal-Ref'!B15,'Internal-Ref'!C15,IF(B26='Internal-Ref'!B16,'Internal-Ref'!C16,IF(B26='Internal-Ref'!B17,'Internal-Ref'!C17,IF(B26='Internal-Ref'!B18,'Internal-Ref'!C18,IF(B26='Internal-Ref'!B19,'Internal-Ref'!C19,IF(B26='Internal-Ref'!B20,'Internal-Ref'!C20,IF(B26='Internal-Ref'!B21,'Internal-Ref'!C21,IF(B26='Internal-Ref'!B22,'Internal-Ref'!C22,"None"))))))))</f>
        <v>0</v>
      </c>
      <c r="F26" s="64"/>
      <c r="G26" s="62"/>
      <c r="H26" s="62"/>
      <c r="I26" s="65"/>
    </row>
    <row r="27" spans="1:9" ht="15" thickBot="1" x14ac:dyDescent="0.4">
      <c r="A27" s="22" t="s">
        <v>68</v>
      </c>
      <c r="B27" s="23" t="s">
        <v>12</v>
      </c>
      <c r="C27" s="30"/>
      <c r="D27" s="25">
        <f>IF(B27='Internal-Ref'!B15,'Internal-Ref'!C15,IF(B27='Internal-Ref'!B16,'Internal-Ref'!C16,IF(B27='Internal-Ref'!B17,'Internal-Ref'!C17,IF(B27='Internal-Ref'!B18,'Internal-Ref'!C18,IF(B27='Internal-Ref'!B19,'Internal-Ref'!C19,IF(B27='Internal-Ref'!B20,'Internal-Ref'!C20,IF(B27='Internal-Ref'!B21,'Internal-Ref'!C21,IF(B27='Internal-Ref'!B22,'Internal-Ref'!C22,"None"))))))))</f>
        <v>1</v>
      </c>
      <c r="F27" s="66"/>
      <c r="G27" s="67"/>
      <c r="H27" s="67"/>
      <c r="I27" s="68"/>
    </row>
    <row r="28" spans="1:9" ht="39.75" customHeight="1" x14ac:dyDescent="0.35">
      <c r="A28" s="22" t="s">
        <v>74</v>
      </c>
      <c r="B28" s="23" t="s">
        <v>30</v>
      </c>
      <c r="C28" s="30"/>
      <c r="D28" s="25">
        <f>IF(B28='Internal-Ref'!B15,'Internal-Ref'!C15,IF(B28='Internal-Ref'!B16,'Internal-Ref'!C16,IF(B28='Internal-Ref'!B17,'Internal-Ref'!C17,IF(B28='Internal-Ref'!B18,'Internal-Ref'!C18,IF(B28='Internal-Ref'!B19,'Internal-Ref'!C19,IF(B28='Internal-Ref'!B20,'Internal-Ref'!C20,IF(B28='Internal-Ref'!B21,'Internal-Ref'!C21,IF(B28='Internal-Ref'!B22,'Internal-Ref'!C22,"None"))))))))</f>
        <v>5</v>
      </c>
      <c r="F28" s="70" t="s">
        <v>83</v>
      </c>
      <c r="G28" s="71"/>
      <c r="H28" s="71"/>
      <c r="I28" s="72"/>
    </row>
    <row r="29" spans="1:9" ht="15.5" x14ac:dyDescent="0.35">
      <c r="A29" s="43" t="s">
        <v>26</v>
      </c>
      <c r="B29" s="41"/>
      <c r="C29" s="39"/>
      <c r="D29" s="40"/>
      <c r="F29" s="73"/>
      <c r="G29" s="74"/>
      <c r="H29" s="74"/>
      <c r="I29" s="75"/>
    </row>
    <row r="30" spans="1:9" x14ac:dyDescent="0.35">
      <c r="A30" s="16" t="s">
        <v>27</v>
      </c>
      <c r="B30" s="17" t="s">
        <v>12</v>
      </c>
      <c r="C30" s="20"/>
      <c r="D30" s="21">
        <f>IF(B30='Internal-Ref'!B15,'Internal-Ref'!C15,IF(B30='Internal-Ref'!B16,'Internal-Ref'!C16,IF(B30='Internal-Ref'!B17,'Internal-Ref'!C17,IF(B30='Internal-Ref'!B18,'Internal-Ref'!C18,IF(B30='Internal-Ref'!B19,'Internal-Ref'!C19,IF(B30='Internal-Ref'!B20,'Internal-Ref'!C20,IF(B30='Internal-Ref'!B21,'Internal-Ref'!C21,IF(B30='Internal-Ref'!B22,'Internal-Ref'!C22,"None"))))))))</f>
        <v>1</v>
      </c>
      <c r="F30" s="73"/>
      <c r="G30" s="74"/>
      <c r="H30" s="74"/>
      <c r="I30" s="75"/>
    </row>
    <row r="31" spans="1:9" x14ac:dyDescent="0.35">
      <c r="A31" s="16" t="s">
        <v>28</v>
      </c>
      <c r="B31" s="17" t="s">
        <v>9</v>
      </c>
      <c r="C31" s="20"/>
      <c r="D31" s="21">
        <f>IF(B31='Internal-Ref'!B15,'Internal-Ref'!C15,IF(B31='Internal-Ref'!B16,'Internal-Ref'!C16,IF(B31='Internal-Ref'!B17,'Internal-Ref'!C17,IF(B31='Internal-Ref'!B18,'Internal-Ref'!C18,IF(B31='Internal-Ref'!B19,'Internal-Ref'!C19,IF(B31='Internal-Ref'!B20,'Internal-Ref'!C20,IF(B31='Internal-Ref'!B21,'Internal-Ref'!C21,IF(B31='Internal-Ref'!B22,'Internal-Ref'!C22,"None"))))))))</f>
        <v>0</v>
      </c>
      <c r="F31" s="73"/>
      <c r="G31" s="74"/>
      <c r="H31" s="74"/>
      <c r="I31" s="75"/>
    </row>
    <row r="32" spans="1:9" x14ac:dyDescent="0.35">
      <c r="A32" s="16" t="s">
        <v>29</v>
      </c>
      <c r="B32" s="17" t="s">
        <v>19</v>
      </c>
      <c r="C32" s="20"/>
      <c r="D32" s="21">
        <f>IF(B32='Internal-Ref'!B15,'Internal-Ref'!C15,IF(B32='Internal-Ref'!B16,'Internal-Ref'!C16,IF(B32='Internal-Ref'!B17,'Internal-Ref'!C17,IF(B32='Internal-Ref'!B18,'Internal-Ref'!C18,IF(B32='Internal-Ref'!B19,'Internal-Ref'!C19,IF(B32='Internal-Ref'!B20,'Internal-Ref'!C20,IF(B32='Internal-Ref'!B21,'Internal-Ref'!C21,IF(B32='Internal-Ref'!B22,'Internal-Ref'!C22,"None"))))))))</f>
        <v>7</v>
      </c>
      <c r="F32" s="73"/>
      <c r="G32" s="74"/>
      <c r="H32" s="74"/>
      <c r="I32" s="75"/>
    </row>
    <row r="33" spans="1:9" x14ac:dyDescent="0.35">
      <c r="A33" s="16" t="s">
        <v>31</v>
      </c>
      <c r="B33" s="17" t="s">
        <v>9</v>
      </c>
      <c r="C33" s="20"/>
      <c r="D33" s="21">
        <f>IF(B33='Internal-Ref'!B15,'Internal-Ref'!C15,IF(B33='Internal-Ref'!B16,'Internal-Ref'!C16,IF(B33='Internal-Ref'!B17,'Internal-Ref'!C17,IF(B33='Internal-Ref'!B18,'Internal-Ref'!C18,IF(B33='Internal-Ref'!B19,'Internal-Ref'!C19,IF(B33='Internal-Ref'!B20,'Internal-Ref'!C20,IF(B33='Internal-Ref'!B21,'Internal-Ref'!C21,IF(B33='Internal-Ref'!B22,'Internal-Ref'!C22,"None"))))))))</f>
        <v>0</v>
      </c>
      <c r="F33" s="73"/>
      <c r="G33" s="74"/>
      <c r="H33" s="74"/>
      <c r="I33" s="75"/>
    </row>
    <row r="34" spans="1:9" ht="16" thickBot="1" x14ac:dyDescent="0.4">
      <c r="A34" s="44" t="s">
        <v>60</v>
      </c>
      <c r="B34" s="45"/>
      <c r="C34" s="45"/>
      <c r="D34" s="45"/>
      <c r="F34" s="73"/>
      <c r="G34" s="74"/>
      <c r="H34" s="74"/>
      <c r="I34" s="75"/>
    </row>
    <row r="35" spans="1:9" ht="15" thickBot="1" x14ac:dyDescent="0.4">
      <c r="A35" s="31" t="s">
        <v>59</v>
      </c>
      <c r="B35" s="24" t="s">
        <v>55</v>
      </c>
      <c r="C35" s="24"/>
      <c r="D35" s="32">
        <f>IF(B35='Internal-Ref'!B33,'Internal-Ref'!C33,IF(B35='Internal-Ref'!B34,'Internal-Ref'!C34,IF(B35='Internal-Ref'!B35,'Internal-Ref'!C35,IF(B35='Internal-Ref'!B36,'Internal-Ref'!C36,IF(B35='Internal-Ref'!B37,'Internal-Ref'!C37,IF(B35='Internal-Ref'!B38,'Internal-Ref'!C38,IF(B35='Internal-Ref'!B39,'Internal-Ref'!C39,"None")))))))</f>
        <v>4</v>
      </c>
      <c r="F35" s="73"/>
      <c r="G35" s="74"/>
      <c r="H35" s="74"/>
      <c r="I35" s="75"/>
    </row>
    <row r="36" spans="1:9" ht="16" thickBot="1" x14ac:dyDescent="0.4">
      <c r="A36" s="44" t="s">
        <v>61</v>
      </c>
      <c r="B36" s="45"/>
      <c r="C36" s="45"/>
      <c r="D36" s="46">
        <f>SUM(D3:D35)</f>
        <v>91</v>
      </c>
      <c r="F36" s="64"/>
      <c r="G36" s="62"/>
      <c r="H36" s="62"/>
      <c r="I36" s="65"/>
    </row>
    <row r="37" spans="1:9" ht="15" thickBot="1" x14ac:dyDescent="0.4">
      <c r="F37" s="66"/>
      <c r="G37" s="67"/>
      <c r="H37" s="67"/>
      <c r="I37" s="68"/>
    </row>
    <row r="38" spans="1:9" ht="16.899999999999999" customHeight="1" x14ac:dyDescent="0.35">
      <c r="A38" s="79" t="s">
        <v>76</v>
      </c>
      <c r="B38" s="82" t="s">
        <v>82</v>
      </c>
      <c r="C38" s="85" t="s">
        <v>84</v>
      </c>
      <c r="D38" s="86"/>
      <c r="F38" s="70" t="s">
        <v>81</v>
      </c>
      <c r="G38" s="71"/>
      <c r="H38" s="71"/>
      <c r="I38" s="72"/>
    </row>
    <row r="39" spans="1:9" x14ac:dyDescent="0.35">
      <c r="A39" s="80"/>
      <c r="B39" s="83"/>
      <c r="C39" s="85" t="s">
        <v>85</v>
      </c>
      <c r="D39" s="86"/>
      <c r="F39" s="73"/>
      <c r="G39" s="74"/>
      <c r="H39" s="74"/>
      <c r="I39" s="75"/>
    </row>
    <row r="40" spans="1:9" x14ac:dyDescent="0.35">
      <c r="A40" s="80"/>
      <c r="B40" s="83"/>
      <c r="C40" s="85" t="s">
        <v>86</v>
      </c>
      <c r="D40" s="86"/>
      <c r="F40" s="73"/>
      <c r="G40" s="74"/>
      <c r="H40" s="74"/>
      <c r="I40" s="75"/>
    </row>
    <row r="41" spans="1:9" x14ac:dyDescent="0.35">
      <c r="A41" s="80"/>
      <c r="B41" s="83"/>
      <c r="C41" s="48" t="s">
        <v>75</v>
      </c>
      <c r="D41" s="49"/>
      <c r="F41" s="73"/>
      <c r="G41" s="74"/>
      <c r="H41" s="74"/>
      <c r="I41" s="75"/>
    </row>
    <row r="42" spans="1:9" ht="15" thickBot="1" x14ac:dyDescent="0.4">
      <c r="A42" s="81"/>
      <c r="B42" s="84"/>
      <c r="C42" s="85" t="s">
        <v>77</v>
      </c>
      <c r="D42" s="86"/>
      <c r="F42" s="76"/>
      <c r="G42" s="77"/>
      <c r="H42" s="77"/>
      <c r="I42" s="78"/>
    </row>
    <row r="99" spans="5:5" x14ac:dyDescent="0.35">
      <c r="E99" t="s">
        <v>32</v>
      </c>
    </row>
    <row r="119" spans="5:5" x14ac:dyDescent="0.35">
      <c r="E119" s="1"/>
    </row>
    <row r="128" spans="5:5" x14ac:dyDescent="0.35">
      <c r="E128" s="1"/>
    </row>
    <row r="130" spans="5:5" x14ac:dyDescent="0.35">
      <c r="E130" s="1"/>
    </row>
    <row r="131" spans="5:5" x14ac:dyDescent="0.35">
      <c r="E131" s="1"/>
    </row>
  </sheetData>
  <sheetProtection algorithmName="SHA-512" hashValue="74TrcBL7EshNCpF8N42N2YbtLK4ZbPIXxrUNZWgGcsa0T3sGcpIcoSr9TsPgKuD4J2GbRGWZVtVmL3cwbq7dNA==" saltValue="YJvJ1XIW7uvjCNlgIW0P2Q==" spinCount="100000" sheet="1"/>
  <mergeCells count="16">
    <mergeCell ref="F28:I35"/>
    <mergeCell ref="F36:I37"/>
    <mergeCell ref="F38:I42"/>
    <mergeCell ref="A38:A42"/>
    <mergeCell ref="B38:B42"/>
    <mergeCell ref="C38:D38"/>
    <mergeCell ref="C39:D39"/>
    <mergeCell ref="C40:D40"/>
    <mergeCell ref="C42:D42"/>
    <mergeCell ref="F1:I1"/>
    <mergeCell ref="F2:I5"/>
    <mergeCell ref="F8:I14"/>
    <mergeCell ref="F6:I7"/>
    <mergeCell ref="F26:I27"/>
    <mergeCell ref="F16:I25"/>
    <mergeCell ref="F15:I15"/>
  </mergeCells>
  <phoneticPr fontId="4" type="noConversion"/>
  <pageMargins left="0.7" right="0.7" top="0.75" bottom="0.75" header="0.3" footer="0.3"/>
  <pageSetup paperSize="9" orientation="portrait" r:id="rId1"/>
  <headerFooter>
    <oddFooter>&amp;C&amp;1#&amp;"Arial"&amp;7&amp;K000000Sensitivity: Internal &amp; Restricted</oddFooter>
  </headerFooter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0000-000000000000}">
          <x14:formula1>
            <xm:f>'Internal-Ref'!$B$15:$B$22</xm:f>
          </x14:formula1>
          <xm:sqref>B11:B13 B30:B33 B3:B9 B23:B28 B15:B21</xm:sqref>
        </x14:dataValidation>
        <x14:dataValidation type="list" allowBlank="1" showInputMessage="1" showErrorMessage="1" xr:uid="{00000000-0002-0000-0000-000001000000}">
          <x14:formula1>
            <xm:f>'Internal-Ref'!$B$33:$B$39</xm:f>
          </x14:formula1>
          <xm:sqref>B35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4:E39"/>
  <sheetViews>
    <sheetView workbookViewId="0">
      <selection activeCell="B6" sqref="B6"/>
    </sheetView>
  </sheetViews>
  <sheetFormatPr defaultRowHeight="14.5" x14ac:dyDescent="0.35"/>
  <cols>
    <col min="2" max="2" width="42.1796875" customWidth="1"/>
    <col min="3" max="3" width="31.54296875" customWidth="1"/>
    <col min="5" max="5" width="18.1796875" customWidth="1"/>
  </cols>
  <sheetData>
    <row r="4" spans="2:5" x14ac:dyDescent="0.35">
      <c r="B4" s="12" t="s">
        <v>33</v>
      </c>
      <c r="C4" s="12" t="s">
        <v>43</v>
      </c>
      <c r="E4" t="s">
        <v>34</v>
      </c>
    </row>
    <row r="5" spans="2:5" x14ac:dyDescent="0.35">
      <c r="B5" s="3" t="s">
        <v>7</v>
      </c>
      <c r="C5" s="3">
        <v>0</v>
      </c>
    </row>
    <row r="6" spans="2:5" x14ac:dyDescent="0.35">
      <c r="B6" s="3" t="s">
        <v>35</v>
      </c>
      <c r="C6" s="3">
        <v>0</v>
      </c>
    </row>
    <row r="7" spans="2:5" x14ac:dyDescent="0.35">
      <c r="B7" s="3" t="s">
        <v>36</v>
      </c>
      <c r="C7" s="3">
        <v>1</v>
      </c>
    </row>
    <row r="8" spans="2:5" x14ac:dyDescent="0.35">
      <c r="B8" s="3" t="s">
        <v>37</v>
      </c>
      <c r="C8" s="3">
        <v>2</v>
      </c>
    </row>
    <row r="9" spans="2:5" x14ac:dyDescent="0.35">
      <c r="B9" s="3" t="s">
        <v>38</v>
      </c>
      <c r="C9" s="3">
        <v>3</v>
      </c>
    </row>
    <row r="10" spans="2:5" x14ac:dyDescent="0.35">
      <c r="B10" s="3" t="s">
        <v>39</v>
      </c>
      <c r="C10" s="3">
        <v>4</v>
      </c>
    </row>
    <row r="11" spans="2:5" x14ac:dyDescent="0.35">
      <c r="B11" s="3" t="s">
        <v>40</v>
      </c>
      <c r="C11" s="3">
        <v>5</v>
      </c>
    </row>
    <row r="12" spans="2:5" x14ac:dyDescent="0.35">
      <c r="B12" s="3" t="s">
        <v>41</v>
      </c>
      <c r="C12" s="3"/>
    </row>
    <row r="13" spans="2:5" ht="15" thickBot="1" x14ac:dyDescent="0.4"/>
    <row r="14" spans="2:5" ht="15" thickBot="1" x14ac:dyDescent="0.4">
      <c r="B14" s="15" t="s">
        <v>42</v>
      </c>
      <c r="C14" s="15" t="s">
        <v>43</v>
      </c>
    </row>
    <row r="15" spans="2:5" x14ac:dyDescent="0.35">
      <c r="B15" s="7" t="s">
        <v>9</v>
      </c>
      <c r="C15" s="7">
        <v>0</v>
      </c>
    </row>
    <row r="16" spans="2:5" x14ac:dyDescent="0.35">
      <c r="B16" s="3" t="s">
        <v>12</v>
      </c>
      <c r="C16" s="3">
        <v>1</v>
      </c>
    </row>
    <row r="17" spans="2:3" x14ac:dyDescent="0.35">
      <c r="B17" s="3" t="s">
        <v>23</v>
      </c>
      <c r="C17" s="3">
        <v>2</v>
      </c>
    </row>
    <row r="18" spans="2:3" x14ac:dyDescent="0.35">
      <c r="B18" s="3" t="s">
        <v>15</v>
      </c>
      <c r="C18" s="3">
        <v>3</v>
      </c>
    </row>
    <row r="19" spans="2:3" x14ac:dyDescent="0.35">
      <c r="B19" s="3" t="s">
        <v>13</v>
      </c>
      <c r="C19" s="3">
        <v>4</v>
      </c>
    </row>
    <row r="20" spans="2:3" x14ac:dyDescent="0.35">
      <c r="B20" s="3" t="s">
        <v>30</v>
      </c>
      <c r="C20" s="3">
        <v>5</v>
      </c>
    </row>
    <row r="21" spans="2:3" x14ac:dyDescent="0.35">
      <c r="B21" s="3" t="s">
        <v>6</v>
      </c>
      <c r="C21" s="3">
        <v>6</v>
      </c>
    </row>
    <row r="22" spans="2:3" x14ac:dyDescent="0.35">
      <c r="B22" s="3" t="s">
        <v>19</v>
      </c>
      <c r="C22" s="3">
        <v>7</v>
      </c>
    </row>
    <row r="23" spans="2:3" ht="15" thickBot="1" x14ac:dyDescent="0.4"/>
    <row r="24" spans="2:3" ht="15" thickBot="1" x14ac:dyDescent="0.4">
      <c r="B24" s="13" t="s">
        <v>44</v>
      </c>
      <c r="C24" s="14" t="s">
        <v>43</v>
      </c>
    </row>
    <row r="25" spans="2:3" x14ac:dyDescent="0.35">
      <c r="B25" s="6" t="s">
        <v>45</v>
      </c>
      <c r="C25" s="7">
        <v>0</v>
      </c>
    </row>
    <row r="26" spans="2:3" x14ac:dyDescent="0.35">
      <c r="B26" s="4" t="s">
        <v>46</v>
      </c>
      <c r="C26" s="3">
        <v>1</v>
      </c>
    </row>
    <row r="27" spans="2:3" x14ac:dyDescent="0.35">
      <c r="B27" s="4" t="s">
        <v>47</v>
      </c>
      <c r="C27" s="3">
        <v>2</v>
      </c>
    </row>
    <row r="28" spans="2:3" x14ac:dyDescent="0.35">
      <c r="B28" s="4" t="s">
        <v>48</v>
      </c>
      <c r="C28" s="3">
        <v>3</v>
      </c>
    </row>
    <row r="29" spans="2:3" x14ac:dyDescent="0.35">
      <c r="B29" s="5" t="s">
        <v>49</v>
      </c>
      <c r="C29" s="3">
        <v>4</v>
      </c>
    </row>
    <row r="30" spans="2:3" x14ac:dyDescent="0.35">
      <c r="B30" s="4" t="s">
        <v>50</v>
      </c>
      <c r="C30" s="3">
        <v>0</v>
      </c>
    </row>
    <row r="32" spans="2:3" x14ac:dyDescent="0.35">
      <c r="B32" s="12" t="s">
        <v>51</v>
      </c>
      <c r="C32" s="12" t="s">
        <v>43</v>
      </c>
    </row>
    <row r="33" spans="2:3" x14ac:dyDescent="0.35">
      <c r="B33" s="3" t="s">
        <v>57</v>
      </c>
      <c r="C33" s="3">
        <v>0</v>
      </c>
    </row>
    <row r="34" spans="2:3" x14ac:dyDescent="0.35">
      <c r="B34" s="3" t="s">
        <v>52</v>
      </c>
      <c r="C34" s="3">
        <v>1</v>
      </c>
    </row>
    <row r="35" spans="2:3" x14ac:dyDescent="0.35">
      <c r="B35" s="3" t="s">
        <v>53</v>
      </c>
      <c r="C35" s="3">
        <v>2</v>
      </c>
    </row>
    <row r="36" spans="2:3" x14ac:dyDescent="0.35">
      <c r="B36" s="3" t="s">
        <v>54</v>
      </c>
      <c r="C36" s="3">
        <v>3</v>
      </c>
    </row>
    <row r="37" spans="2:3" x14ac:dyDescent="0.35">
      <c r="B37" s="3" t="s">
        <v>55</v>
      </c>
      <c r="C37" s="3">
        <v>4</v>
      </c>
    </row>
    <row r="38" spans="2:3" x14ac:dyDescent="0.35">
      <c r="B38" s="3" t="s">
        <v>56</v>
      </c>
      <c r="C38" s="3">
        <v>3</v>
      </c>
    </row>
    <row r="39" spans="2:3" x14ac:dyDescent="0.35">
      <c r="B39" s="3" t="s">
        <v>58</v>
      </c>
      <c r="C39" s="3">
        <v>2</v>
      </c>
    </row>
  </sheetData>
  <sheetProtection algorithmName="SHA-512" hashValue="PROx32jK+Jwl2nUhos8JY0JKoiB9kv5zjP3Xn7IGMFfyO7jsTEDJHbeEF+7BsH6InAQRdDsFu4gHaRkoBk2suA==" saltValue="tIca6NxEfrSEFmhOuhJvLg==" spinCount="100000" sheet="1" objects="1" scenarios="1"/>
  <phoneticPr fontId="4" type="noConversion"/>
  <pageMargins left="0.7" right="0.7" top="0.75" bottom="0.75" header="0.3" footer="0.3"/>
  <pageSetup paperSize="9" orientation="portrait" r:id="rId1"/>
  <headerFooter>
    <oddFooter>&amp;C&amp;1#&amp;"Arial"&amp;7&amp;K000000Sensitivity: Internal &amp; Restricted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Recruiter-Candidate form</vt:lpstr>
      <vt:lpstr>Internal-Ref</vt:lpstr>
    </vt:vector>
  </TitlesOfParts>
  <Manager/>
  <Company>Publicis Groupe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Pooja Agarwal</dc:creator>
  <cp:keywords/>
  <dc:description/>
  <cp:lastModifiedBy>Mazin Ismail - (CPG)</cp:lastModifiedBy>
  <cp:revision/>
  <dcterms:created xsi:type="dcterms:W3CDTF">2019-11-12T06:10:21Z</dcterms:created>
  <dcterms:modified xsi:type="dcterms:W3CDTF">2020-08-31T08:10:59Z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b9a70571-31c6-4603-80c1-ef2fb871a62a_Enabled">
    <vt:lpwstr>True</vt:lpwstr>
  </property>
  <property fmtid="{D5CDD505-2E9C-101B-9397-08002B2CF9AE}" pid="3" name="MSIP_Label_b9a70571-31c6-4603-80c1-ef2fb871a62a_SiteId">
    <vt:lpwstr>258ac4e4-146a-411e-9dc8-79a9e12fd6da</vt:lpwstr>
  </property>
  <property fmtid="{D5CDD505-2E9C-101B-9397-08002B2CF9AE}" pid="4" name="MSIP_Label_b9a70571-31c6-4603-80c1-ef2fb871a62a_Owner">
    <vt:lpwstr>MA20011300@wipro.com</vt:lpwstr>
  </property>
  <property fmtid="{D5CDD505-2E9C-101B-9397-08002B2CF9AE}" pid="5" name="MSIP_Label_b9a70571-31c6-4603-80c1-ef2fb871a62a_SetDate">
    <vt:lpwstr>2020-08-31T08:02:20.9757284Z</vt:lpwstr>
  </property>
  <property fmtid="{D5CDD505-2E9C-101B-9397-08002B2CF9AE}" pid="6" name="MSIP_Label_b9a70571-31c6-4603-80c1-ef2fb871a62a_Name">
    <vt:lpwstr>Internal and Restricted</vt:lpwstr>
  </property>
  <property fmtid="{D5CDD505-2E9C-101B-9397-08002B2CF9AE}" pid="7" name="MSIP_Label_b9a70571-31c6-4603-80c1-ef2fb871a62a_Application">
    <vt:lpwstr>Microsoft Azure Information Protection</vt:lpwstr>
  </property>
  <property fmtid="{D5CDD505-2E9C-101B-9397-08002B2CF9AE}" pid="8" name="MSIP_Label_b9a70571-31c6-4603-80c1-ef2fb871a62a_ActionId">
    <vt:lpwstr>7cd94ea3-d5e4-49cf-a7ed-e8c21e9e039e</vt:lpwstr>
  </property>
  <property fmtid="{D5CDD505-2E9C-101B-9397-08002B2CF9AE}" pid="9" name="MSIP_Label_b9a70571-31c6-4603-80c1-ef2fb871a62a_Extended_MSFT_Method">
    <vt:lpwstr>Automatic</vt:lpwstr>
  </property>
  <property fmtid="{D5CDD505-2E9C-101B-9397-08002B2CF9AE}" pid="10" name="Sensitivity">
    <vt:lpwstr>Internal and Restricted</vt:lpwstr>
  </property>
</Properties>
</file>